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49_Figma_States_Master" sheetId="1" state="visible" r:id="rId2"/>
    <sheet name="12_Frontend_Routes_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<sst xmlns="http://schemas.openxmlformats.org/spreadsheetml/2006/main" count="525" uniqueCount="432">
  <si>
    <t xml:space="preserve">ROSE Event Management — All 49 Figma Interactive States to 12 Frontend HTML Routes Master Matrix</t>
  </si>
  <si>
    <t xml:space="preserve">100% Synced with `ROSE · Event Management · 49 States.fig` (15 Participant + 12 Leader + 12 Organizer + 10 Organizer US-09 States = 49 States across 12 HTML Routes)</t>
  </si>
  <si>
    <t xml:space="preserve">Total Figma States (.fig)</t>
  </si>
  <si>
    <t xml:space="preserve">Role 1 Participant States</t>
  </si>
  <si>
    <t xml:space="preserve">Role 2 Community Leader States</t>
  </si>
  <si>
    <t xml:space="preserve">Role 3 &amp; US-09 Organizer States</t>
  </si>
  <si>
    <t xml:space="preserve">State ID</t>
  </si>
  <si>
    <t xml:space="preserve">Exact Figma Frame Name (ROSE · Event Management · 49 States.fig)</t>
  </si>
  <si>
    <t xml:space="preserve">Figma Page in .fig</t>
  </si>
  <si>
    <t xml:space="preserve">Mapped Frontend Route (SCR-01..12)</t>
  </si>
  <si>
    <t xml:space="preserve">UI State Type</t>
  </si>
  <si>
    <t xml:space="preserve">Interactive Behavior &amp; State Transition Description</t>
  </si>
  <si>
    <t xml:space="preserve">Exact DOM IDs &amp; Form `name` Attributes</t>
  </si>
  <si>
    <t xml:space="preserve">Backend FastAPI Endpoint &amp; Schema</t>
  </si>
  <si>
    <t xml:space="preserve">P-01</t>
  </si>
  <si>
    <t xml:space="preserve">P01_Participant_Home_All_Events</t>
  </si>
  <si>
    <t xml:space="preserve">01 · Participant / 15 states</t>
  </si>
  <si>
    <t xml:space="preserve">SCR-01 (index.html)</t>
  </si>
  <si>
    <t xml:space="preserve">Base Page (Default)</t>
  </si>
  <si>
    <t xml:space="preserve">Initial load of public clinic directory showing 3-column .events-grid &amp; dual-quota bars</t>
  </si>
  <si>
    <t xml:space="preserve">#event-keyword, #results-summary, .events-grid, .event-card, #page-number</t>
  </si>
  <si>
    <t xml:space="preserve">GET /api/v1/events?page=1&amp;pageSize=6</t>
  </si>
  <si>
    <t xml:space="preserve">P-02</t>
  </si>
  <si>
    <t xml:space="preserve">P02_Participant_Search_Filtered_Batu_Pahat</t>
  </si>
  <si>
    <t xml:space="preserve">Filtered UI State</t>
  </si>
  <si>
    <t xml:space="preserve">Keyword search ('Batu Pahat') filtering .events-grid with active #clear-search button</t>
  </si>
  <si>
    <t xml:space="preserve">#event-keyword (value='Batu Pahat'), #clear-search, #results-summary</t>
  </si>
  <si>
    <t xml:space="preserve">GET /api/v1/events?keyword=Batu+Pahat</t>
  </si>
  <si>
    <t xml:space="preserve">P-03</t>
  </si>
  <si>
    <t xml:space="preserve">P03_Participant_Clinic_Details_Batu_Pahat</t>
  </si>
  <si>
    <t xml:space="preserve">SCR-02 (event.html)</t>
  </si>
  <si>
    <t xml:space="preserve">Base Page (Detail)</t>
  </si>
  <si>
    <t xml:space="preserve">Selected clinic session details showing Online Public Pool vs Leader Assisted Pool &amp; 'Apply for this event -&gt;'</t>
  </si>
  <si>
    <t xml:space="preserve">#detail-status, #choose-event, #btn-open-share, .quota-meter</t>
  </si>
  <si>
    <t xml:space="preserve">GET /api/v1/events/{public_id}</t>
  </si>
  <si>
    <t xml:space="preserve">P-04</t>
  </si>
  <si>
    <t xml:space="preserve">P04_Participant_Share_Clinic_Modal</t>
  </si>
  <si>
    <t xml:space="preserve">Modal Overlay</t>
  </si>
  <si>
    <t xml:space="preserve">Share clinic link via WhatsApp / copy URL modal overlay atop SCR-02</t>
  </si>
  <si>
    <t xml:space="preserve">#share-clinic-modal, #btn-copy-clinic-url, #btn-close-share</t>
  </si>
  <si>
    <t xml:space="preserve">Client-side Clipboard / Web Share API</t>
  </si>
  <si>
    <t xml:space="preserve">P-05</t>
  </si>
  <si>
    <t xml:space="preserve">P05_Participant_Application_Form_Empty</t>
  </si>
  <si>
    <t xml:space="preserve">SCR-06 (registration.html)</t>
  </si>
  <si>
    <t xml:space="preserve">Base Page (Empty Form)</t>
  </si>
  <si>
    <t xml:space="preserve">Initial 7-field participant registration form (First Name, Last Name, Gender, DOB, Phone, Address, National ID)</t>
  </si>
  <si>
    <t xml:space="preserve">form#registration-form, first_name, last_name, gender, date_of_birth, phone, address, national_id</t>
  </si>
  <si>
    <t xml:space="preserve">Client Form Init (SCR-06)</t>
  </si>
  <si>
    <t xml:space="preserve">P-06E</t>
  </si>
  <si>
    <t xml:space="preserve">P06E_Participant_Application_Validation_Error</t>
  </si>
  <si>
    <t xml:space="preserve">Validation Error State</t>
  </si>
  <si>
    <t xml:space="preserve">Coral alert banner (#FFF2EC / #833D2A) &amp; field-level red borders when required fields or phone format fail</t>
  </si>
  <si>
    <t xml:space="preserve">.banner-alert, .form-field.field-error, #validation-summary</t>
  </si>
  <si>
    <t xml:space="preserve">Client / 422 Validation Error Handler</t>
  </si>
  <si>
    <t xml:space="preserve">P-06</t>
  </si>
  <si>
    <t xml:space="preserve">P06_Participant_Application_Form_Filled</t>
  </si>
  <si>
    <t xml:space="preserve">Filled Form Ready State</t>
  </si>
  <si>
    <t xml:space="preserve">Validated 7-field participant form (Siti Amina, +60 12-345 6789) ready to trigger SMS OTP</t>
  </si>
  <si>
    <t xml:space="preserve">form#registration-form (valid), button[type='submit']</t>
  </si>
  <si>
    <t xml:space="preserve">POST /api/v1/participants (Pre-OTP Check)</t>
  </si>
  <si>
    <t xml:space="preserve">P-07</t>
  </si>
  <si>
    <t xml:space="preserve">P07_Participant_SMS_OTP_Modal_Empty</t>
  </si>
  <si>
    <t xml:space="preserve">SCR-07 (registration.mjs)</t>
  </si>
  <si>
    <t xml:space="preserve">Modal Overlay (Empty)</t>
  </si>
  <si>
    <t xml:space="preserve">6-digit SMS OTP verification modal sent to +60 12-345 6789 (unfilled boxes)</t>
  </si>
  <si>
    <t xml:space="preserve">#otp-modal, #otp-input-group, #btn-resend-otp</t>
  </si>
  <si>
    <t xml:space="preserve">POST /api/v1/auth/otp/send</t>
  </si>
  <si>
    <t xml:space="preserve">P-08</t>
  </si>
  <si>
    <t xml:space="preserve">P08_Participant_SMS_OTP_Modal_Filled</t>
  </si>
  <si>
    <t xml:space="preserve">Modal Overlay (Filled)</t>
  </si>
  <si>
    <t xml:space="preserve">6-digit OTP code ('849201') entered and ready to confirm booking slot</t>
  </si>
  <si>
    <t xml:space="preserve">#otp-modal, #otp-code (value='849201'), #btn-verify-otp</t>
  </si>
  <si>
    <t xml:space="preserve">POST /api/v1/auth/otp/verify</t>
  </si>
  <si>
    <t xml:space="preserve">P-09</t>
  </si>
  <si>
    <t xml:space="preserve">P09_Participant_Confirmed_Booking_Pass_QR</t>
  </si>
  <si>
    <t xml:space="preserve">SCR-07 (my-bookings.html)</t>
  </si>
  <si>
    <t xml:space="preserve">Base Page (Confirmed)</t>
  </si>
  <si>
    <t xml:space="preserve">Server-confirmed booking pass (#ROSE-882-BP) with QR code, clinic details, and Cancel Booking trigger</t>
  </si>
  <si>
    <t xml:space="preserve">#booking-status-badge (CONFIRMED), #qr-pass-box, #btn-cancel-booking</t>
  </si>
  <si>
    <t xml:space="preserve">GET /api/v1/participants/me</t>
  </si>
  <si>
    <t xml:space="preserve">P-10</t>
  </si>
  <si>
    <t xml:space="preserve">P10_Participant_Cancel_Confirmation_Modal</t>
  </si>
  <si>
    <t xml:space="preserve">Modal Overlay (Danger)</t>
  </si>
  <si>
    <t xml:space="preserve">Destructive action confirmation modal warning that cancelling releases the slot to Waitlist #1</t>
  </si>
  <si>
    <t xml:space="preserve">#cancel-confirm-modal, #btn-confirm-cancel, #btn-keep-booking</t>
  </si>
  <si>
    <t xml:space="preserve">PUT /api/v1/registrations/{id}/cancel</t>
  </si>
  <si>
    <t xml:space="preserve">P-11</t>
  </si>
  <si>
    <t xml:space="preserve">P11_Participant_Cancelled_Toast_Home_State</t>
  </si>
  <si>
    <t xml:space="preserve">SCR-01 / SCR-07</t>
  </si>
  <si>
    <t xml:space="preserve">Toast + Redirect State</t>
  </si>
  <si>
    <t xml:space="preserve">Redirect to Home directory with confirmation banner that booking #ROSE-882-BP was cancelled</t>
  </si>
  <si>
    <t xml:space="preserve">#cancelled-toast-banner, .events-grid</t>
  </si>
  <si>
    <t xml:space="preserve">GET /api/v1/events (Refreshed Quota)</t>
  </si>
  <si>
    <t xml:space="preserve">P-12</t>
  </si>
  <si>
    <t xml:space="preserve">P12_Participant_Waitlist_Registration_Form</t>
  </si>
  <si>
    <t xml:space="preserve">Waitlist Form State</t>
  </si>
  <si>
    <t xml:space="preserve">Waitlist intake form when Online Public Pool is 100% FULL (80/80 slots)</t>
  </si>
  <si>
    <t xml:space="preserve">#waitlist-intake-form, #waitlist-notice-banner (#FDF6E7)</t>
  </si>
  <si>
    <t xml:space="preserve">POST /api/v1/registrations/waitlist</t>
  </si>
  <si>
    <t xml:space="preserve">P-13</t>
  </si>
  <si>
    <t xml:space="preserve">P13_Participant_Waitlist_Queue_Status</t>
  </si>
  <si>
    <t xml:space="preserve">Waitlist Tracker State</t>
  </si>
  <si>
    <t xml:space="preserve">Waitlist status tracker showing Position #1 in queue and automatic SMS notification status</t>
  </si>
  <si>
    <t xml:space="preserve">#waitlist-position-card, #status-badge-waitlisted</t>
  </si>
  <si>
    <t xml:space="preserve">GET /api/v1/registrations/{id}/waitlist-status</t>
  </si>
  <si>
    <t xml:space="preserve">P-14</t>
  </si>
  <si>
    <t xml:space="preserve">P14_Participant_Waitlist_24h_Slot_Offer</t>
  </si>
  <si>
    <t xml:space="preserve">24h Offer Claim State</t>
  </si>
  <si>
    <t xml:space="preserve">Active 24-hour countdown offer banner allowing Waitlist #1 to claim a newly vacated slot</t>
  </si>
  <si>
    <t xml:space="preserve">#waitlist-offer-banner, #countdown-timer, #btn-claim-waitlist</t>
  </si>
  <si>
    <t xml:space="preserve">POST /api/v1/registrations/{id}/claim-offer</t>
  </si>
  <si>
    <t xml:space="preserve">L-01</t>
  </si>
  <si>
    <t xml:space="preserve">L01_Leader_Sign_In_Empty</t>
  </si>
  <si>
    <t xml:space="preserve">02 · Community Leader / 12 states</t>
  </si>
  <si>
    <t xml:space="preserve">SCR-04 (login.html)</t>
  </si>
  <si>
    <t xml:space="preserve">Base Page (Empty Auth)</t>
  </si>
  <si>
    <t xml:space="preserve">Role-aware sign-in page for Community Leader (role='leader') with empty credentials</t>
  </si>
  <si>
    <t xml:space="preserve">input[name='username'], input[name='password'], #account-slot</t>
  </si>
  <si>
    <t xml:space="preserve">GET /login.html</t>
  </si>
  <si>
    <t xml:space="preserve">L-02</t>
  </si>
  <si>
    <t xml:space="preserve">L02_Leader_Sign_In_Filled</t>
  </si>
  <si>
    <t xml:space="preserve">Filled Auth State</t>
  </si>
  <si>
    <t xml:space="preserve">Leader credentials ('leader_ketua_ali') filled with verified role badge (20 Protected Offline Spots)</t>
  </si>
  <si>
    <t xml:space="preserve">input[name='username'], button[type='submit'], #role-verified-pill</t>
  </si>
  <si>
    <t xml:space="preserve">POST /api/v1/auth/login -&gt; Bearer JWT (role='leader')</t>
  </si>
  <si>
    <t xml:space="preserve">L-03</t>
  </si>
  <si>
    <t xml:space="preserve">L03_Leader_Outreach_Hub_Default</t>
  </si>
  <si>
    <t xml:space="preserve">SCR-08 (leader-hub.html)</t>
  </si>
  <si>
    <t xml:space="preserve">Base Page (Hub Default)</t>
  </si>
  <si>
    <t xml:space="preserve">Community Leader Outreach Hub showing 8/20 Offline Pool used (12 left), WhatsApp link, A4 Flyer, Assisted Intake</t>
  </si>
  <si>
    <t xml:space="preserve">#leader-quota-bar, #referral-link-box, #btn-copy-whatsapp, #btn-generate-brochure</t>
  </si>
  <si>
    <t xml:space="preserve">GET /api/v1/events/{id}/leader-quota</t>
  </si>
  <si>
    <t xml:space="preserve">L-04</t>
  </si>
  <si>
    <t xml:space="preserve">L04_Leader_WhatsApp_Referral_Copied_Modal</t>
  </si>
  <si>
    <t xml:space="preserve">WhatsApp bilingual referral link &amp; message template copied confirmation modal (?ref=LDR-BP-04)</t>
  </si>
  <si>
    <t xml:space="preserve">#whatsapp-copied-modal, #referral-url-input, #btn-open-whatsapp</t>
  </si>
  <si>
    <t xml:space="preserve">Client Clipboard + Attribution Tag ?ref=LDR-BP-04</t>
  </si>
  <si>
    <t xml:space="preserve">L-05</t>
  </si>
  <si>
    <t xml:space="preserve">L05_Leader_Printable_A4_Flyer_Preview_Modal</t>
  </si>
  <si>
    <t xml:space="preserve">Modal Overlay (PDF Flyer)</t>
  </si>
  <si>
    <t xml:space="preserve">Generated A4 printable clinic flyer preview with embedded leader QR code &amp; Download PDF action</t>
  </si>
  <si>
    <t xml:space="preserve">#flyer-preview-modal, #btn-download-flyer</t>
  </si>
  <si>
    <t xml:space="preserve">POST /api/v1/events/{eventId}/brochures/generations</t>
  </si>
  <si>
    <t xml:space="preserve">L-06</t>
  </si>
  <si>
    <t xml:space="preserve">L06_Leader_Assisted_Intake_Empty</t>
  </si>
  <si>
    <t xml:space="preserve">SCR-09 (leader-assist.html)</t>
  </si>
  <si>
    <t xml:space="preserve">Base Page (Empty Proxy)</t>
  </si>
  <si>
    <t xml:space="preserve">Leader Assisted Proxy Registration form (empty 7 fields) with 'Scan Paper Form (AI OCR)' button</t>
  </si>
  <si>
    <t xml:space="preserve">#btn-scan-paper-form, form#proxy-intake-form</t>
  </si>
  <si>
    <t xml:space="preserve">GET /leader-assist.html</t>
  </si>
  <si>
    <t xml:space="preserve">L-07</t>
  </si>
  <si>
    <t xml:space="preserve">L07_Leader_Camera_OCR_Scanner_Modal</t>
  </si>
  <si>
    <t xml:space="preserve">Modal Overlay (Camera OCR)</t>
  </si>
  <si>
    <t xml:space="preserve">Camera viewfinder modal capturing physical B40 paper registration form for AI OCR extraction</t>
  </si>
  <si>
    <t xml:space="preserve">#ocr-camera-modal, #btn-capture-extract</t>
  </si>
  <si>
    <t xml:space="preserve">POST /api/v1/ocr/scan-form</t>
  </si>
  <si>
    <t xml:space="preserve">L-08</t>
  </si>
  <si>
    <t xml:space="preserve">L08_Leader_Assisted_OCR_Yellow_Highlight_Lock</t>
  </si>
  <si>
    <t xml:space="preserve">OCR Lock State (Amber)</t>
  </si>
  <si>
    <t xml:space="preserve">Auto-filled 7 fields with low-confidence fields highlighted in Amber (#FEF3C7) &amp; Submit button locked until checkbox verified</t>
  </si>
  <si>
    <t xml:space="preserve">#ocr-review-banner, .ocr-amber-verify, #chk-ocr-verified, #btn-submit-proxy (disabled)</t>
  </si>
  <si>
    <t xml:space="preserve">Client Human-in-the-Loop Verification Gate</t>
  </si>
  <si>
    <t xml:space="preserve">L-09</t>
  </si>
  <si>
    <t xml:space="preserve">L09_Leader_Assisted_Form_Verified_Ready</t>
  </si>
  <si>
    <t xml:space="preserve">OCR Verified Unlocked State</t>
  </si>
  <si>
    <t xml:space="preserve">Leader checks mandatory verification box; Amber lock clears to Emerald ready state and unlocks Submit</t>
  </si>
  <si>
    <t xml:space="preserve">#chk-ocr-verified (checked), #btn-submit-proxy (enabled)</t>
  </si>
  <si>
    <t xml:space="preserve">POST /api/v1/participants (pool='offline_quota')</t>
  </si>
  <si>
    <t xml:space="preserve">L-10</t>
  </si>
  <si>
    <t xml:space="preserve">L10_Leader_Assisted_Confirmation_Receipt_Slip</t>
  </si>
  <si>
    <t xml:space="preserve">Confirmed Proxy Slip State</t>
  </si>
  <si>
    <t xml:space="preserve">Assisted registration receipt (#ROSE-PROXY-884 for Noraini Binti Hassan) with SMS &amp; Print Slip options</t>
  </si>
  <si>
    <t xml:space="preserve">#proxy-receipt-card, #btn-print-slip, #btn-return-hub</t>
  </si>
  <si>
    <t xml:space="preserve">201 ParticipantResponse (#ROSE-PROXY-884)</t>
  </si>
  <si>
    <t xml:space="preserve">L-11</t>
  </si>
  <si>
    <t xml:space="preserve">L11_Leader_Physical_Flyer_Outreach_Log_Modal</t>
  </si>
  <si>
    <t xml:space="preserve">Modal Overlay (Outreach Log)</t>
  </si>
  <si>
    <t xml:space="preserve">Self-reported physical flyer distribution modal (1-500 flyers + location notes, tagged SELF_REPORTED)</t>
  </si>
  <si>
    <t xml:space="preserve">#outreach-log-modal, #flyers-distributed-input, #outreach-location</t>
  </si>
  <si>
    <t xml:space="preserve">POST /api/v1/outreach-reports</t>
  </si>
  <si>
    <t xml:space="preserve">L-12</t>
  </si>
  <si>
    <t xml:space="preserve">L12_Leader_Hub_Updated_Quota_And_Pause_Signal</t>
  </si>
  <si>
    <t xml:space="preserve">Updated Hub + Pause Banner</t>
  </si>
  <si>
    <t xml:space="preserve">Updated Leader Hub showing 9/20 Offline Quota used (11 left), 45 Self-Reported Flyers, and &gt;=80% Organizer Pause Signal</t>
  </si>
  <si>
    <t xml:space="preserve">#leader-quota-bar (9/20), #pause-outreach-banner (#FDF6E7)</t>
  </si>
  <si>
    <t xml:space="preserve">GET /api/v1/events/{id}/leader-quota (Updated)</t>
  </si>
  <si>
    <t xml:space="preserve">O-01</t>
  </si>
  <si>
    <t xml:space="preserve">O01_Organizer_403_Permission_Intercept_Guard</t>
  </si>
  <si>
    <t xml:space="preserve">03 · Organizer / 12 states</t>
  </si>
  <si>
    <t xml:space="preserve">SCR-04 / SCR-05</t>
  </si>
  <si>
    <t xml:space="preserve">403 RBAC Guard State</t>
  </si>
  <si>
    <t xml:space="preserve">Coral permission guard (#organizer-prompt / #login-prompt) blocking non-organizer users from creating events</t>
  </si>
  <si>
    <t xml:space="preserve">#organizer-prompt, #login-prompt, #btn-switch-organizer-login</t>
  </si>
  <si>
    <t xml:space="preserve">403 Forbidden Guard (create-event.mjs)</t>
  </si>
  <si>
    <t xml:space="preserve">O-02</t>
  </si>
  <si>
    <t xml:space="preserve">O02_Organizer_Sign_In_Filled</t>
  </si>
  <si>
    <t xml:space="preserve">ROSE Organizer credentials ('admin_rose_hq') filled to authenticate with role='organizer' JWT</t>
  </si>
  <si>
    <t xml:space="preserve">input[name='username'], input[name='password'], button[type='submit']</t>
  </si>
  <si>
    <t xml:space="preserve">POST /api/v1/auth/login -&gt; Bearer JWT (role='organizer')</t>
  </si>
  <si>
    <t xml:space="preserve">O-03</t>
  </si>
  <si>
    <t xml:space="preserve">O03_Organizer_Schedule_Session_Empty</t>
  </si>
  <si>
    <t xml:space="preserve">SCR-05 (create-event.html)</t>
  </si>
  <si>
    <t xml:space="preserve">Empty Schedule Screening Session form with Dual-Pool Quota inputs (online_quota + offline_quota)</t>
  </si>
  <si>
    <t xml:space="preserve">form#create-event-form, title, overview, location, online_quota, offline_quota, start_time, end_time</t>
  </si>
  <si>
    <t xml:space="preserve">GET /create-event.html</t>
  </si>
  <si>
    <t xml:space="preserve">O-04</t>
  </si>
  <si>
    <t xml:space="preserve">O04_Organizer_Schedule_Validation_Error</t>
  </si>
  <si>
    <t xml:space="preserve">Validation error state when end_time &lt;= start_time or quota fields are invalid/negative</t>
  </si>
  <si>
    <t xml:space="preserve">.banner-alert, .form-field.field-error</t>
  </si>
  <si>
    <t xml:space="preserve">Client / 422 EventCreate Validation</t>
  </si>
  <si>
    <t xml:space="preserve">O-05</t>
  </si>
  <si>
    <t xml:space="preserve">O05_Organizer_Schedule_Session_Filled</t>
  </si>
  <si>
    <t xml:space="preserve">Completed clinic schedule (Dewan Jubli Intan Batu Pahat, 80 Online + 20 Leader Offline = 100 Total Capacity)</t>
  </si>
  <si>
    <t xml:space="preserve">form#create-event-form (valid), button[type='submit']</t>
  </si>
  <si>
    <t xml:space="preserve">POST /api/v1/events (Body: EventCreate)</t>
  </si>
  <si>
    <t xml:space="preserve">O-06</t>
  </si>
  <si>
    <t xml:space="preserve">O06_Organizer_Session_Published_Modal</t>
  </si>
  <si>
    <t xml:space="preserve">Modal Overlay (Published)</t>
  </si>
  <si>
    <t xml:space="preserve">Session published confirmation modal showing ULID public_id and direct link to Live Demand Monitor</t>
  </si>
  <si>
    <t xml:space="preserve">#published-success-modal, #btn-open-live-monitor</t>
  </si>
  <si>
    <t xml:space="preserve">201 EventResponse (status='ACTIVE')</t>
  </si>
  <si>
    <t xml:space="preserve">O-07</t>
  </si>
  <si>
    <t xml:space="preserve">O07_Organizer_Live_Demand_Monitor_Default</t>
  </si>
  <si>
    <t xml:space="preserve">SCR-10 (organizer-dashboard.html)</t>
  </si>
  <si>
    <t xml:space="preserve">Base Page (Live Monitor)</t>
  </si>
  <si>
    <t xml:space="preserve">Live Demand Monitor showing 82/100 capacity (&gt;=80% Amber Threshold), Dual-Pool breakdown, and OCR Review Queue</t>
  </si>
  <si>
    <t xml:space="preserve">#stat-confirmed, #stat-pending-review, #stat-waitlist, #stat-reported-flyers, #btn-signal-pause</t>
  </si>
  <si>
    <t xml:space="preserve">GET /api/v1/events/{id}/summary</t>
  </si>
  <si>
    <t xml:space="preserve">O-08</t>
  </si>
  <si>
    <t xml:space="preserve">O08_Organizer_Send_Pause_Signal_Modal</t>
  </si>
  <si>
    <t xml:space="preserve">Modal Overlay (Pause Signal)</t>
  </si>
  <si>
    <t xml:space="preserve">Modal to broadcast 'Pause Physical Outreach (&gt;=80% Capacity Reached)' signal to Community Leaders</t>
  </si>
  <si>
    <t xml:space="preserve">#pause-signal-modal, #btn-confirm-pause-signal</t>
  </si>
  <si>
    <t xml:space="preserve">POST /api/v1/events/{id}/signals/pause-outreach</t>
  </si>
  <si>
    <t xml:space="preserve">O-09</t>
  </si>
  <si>
    <t xml:space="preserve">O09_Organizer_Applicant_OCR_Review_Modal</t>
  </si>
  <si>
    <t xml:space="preserve">Modal Overlay (OCR Audit)</t>
  </si>
  <si>
    <t xml:space="preserve">Organizer side-by-side audit modal comparing scanned paper snippet vs OCR fields for PENDING_REVIEW applicant</t>
  </si>
  <si>
    <t xml:space="preserve">#ocr-audit-modal, #btn-approve-applicant, #btn-flag-followup</t>
  </si>
  <si>
    <t xml:space="preserve">PUT /api/v1/participants/{id}/review</t>
  </si>
  <si>
    <t xml:space="preserve">O-10</t>
  </si>
  <si>
    <t xml:space="preserve">O10_Organizer_Broadcast_SMS_Notice_Modal</t>
  </si>
  <si>
    <t xml:space="preserve">Modal Overlay (SMS Broadcast)</t>
  </si>
  <si>
    <t xml:space="preserve">Organizer broadcast SMS/WhatsApp reminder modal to all 82 confirmed participants</t>
  </si>
  <si>
    <t xml:space="preserve">#broadcast-notice-modal, #notice-message-body, #btn-send-notice</t>
  </si>
  <si>
    <t xml:space="preserve">POST /api/v1/events/{id}/notices</t>
  </si>
  <si>
    <t xml:space="preserve">O-11</t>
  </si>
  <si>
    <t xml:space="preserve">O11_Organizer_Event_Closeout_Attribution_Report</t>
  </si>
  <si>
    <t xml:space="preserve">SCR-12 (event-closeout.html)</t>
  </si>
  <si>
    <t xml:space="preserve">Base Page (Closeout Report)</t>
  </si>
  <si>
    <t xml:space="preserve">Post-event reconciliation dashboard comparing Self-Reported Flyers vs Verified Registrations vs Checked-In &amp; No-Show%</t>
  </si>
  <si>
    <t xml:space="preserve">#closeout-metrics-grid, #attribution-comparison-table, #no-show-rate-card, #btn-export-csv</t>
  </si>
  <si>
    <t xml:space="preserve">GET /api/v1/events/{id}/closeout-summary</t>
  </si>
  <si>
    <t xml:space="preserve">O-12</t>
  </si>
  <si>
    <t xml:space="preserve">O12_Organizer_Closeout_CSV_Export_Modal</t>
  </si>
  <si>
    <t xml:space="preserve">Modal Overlay (CSV Export)</t>
  </si>
  <si>
    <t xml:space="preserve">Export verified attendance &amp; leader attribution CSV report and archive clinic session modal</t>
  </si>
  <si>
    <t xml:space="preserve">#csv-export-modal, #btn-download-csv, #btn-archive-session</t>
  </si>
  <si>
    <t xml:space="preserve">GET /api/v1/events/{id}/closeout-export.csv</t>
  </si>
  <si>
    <t xml:space="preserve">F-01</t>
  </si>
  <si>
    <t xml:space="preserve">F01_Organizer_US09_Tablet_Login_And_Roster_Preload</t>
  </si>
  <si>
    <t xml:space="preserve">04 · Organizer US-09 / 10 states</t>
  </si>
  <si>
    <t xml:space="preserve">SCR-04 / SCR-11</t>
  </si>
  <si>
    <t xml:space="preserve">Base Page (Roster Preload)</t>
  </si>
  <si>
    <t xml:space="preserve">Organizer event-day tablet sign-in &amp; scoped clinic roster preload (82 confirmed records, rev-20261028-0800)</t>
  </si>
  <si>
    <t xml:space="preserve">#roster-preload-card, #roster-revision-tag, #btn-launch-offline-desk</t>
  </si>
  <si>
    <t xml:space="preserve">GET /api/v1/events/{id}/roster</t>
  </si>
  <si>
    <t xml:space="preserve">F-02</t>
  </si>
  <si>
    <t xml:space="preserve">F02_Organizer_US09_Offline_CheckIn_Roster_Default</t>
  </si>
  <si>
    <t xml:space="preserve">SCR-11 (field-checkin.html)</t>
  </si>
  <si>
    <t xml:space="preserve">Base Page (Offline Roster)</t>
  </si>
  <si>
    <t xml:space="preserve">Offline-capable check-in desk showing connectivity banner, search bar, and participant check-in rows</t>
  </si>
  <si>
    <t xml:space="preserve">#roster-revision-tag, #checkin-search, #btn-queue-checkin, .roster-table</t>
  </si>
  <si>
    <t xml:space="preserve">IndexedDB Local Roster Store</t>
  </si>
  <si>
    <t xml:space="preserve">F-03</t>
  </si>
  <si>
    <t xml:space="preserve">F03_Organizer_US09_Roster_Search_Filtered_Siti_Amina</t>
  </si>
  <si>
    <t xml:space="preserve">Filtered Roster State</t>
  </si>
  <si>
    <t xml:space="preserve">Instant local IndexedDB search filtering roster by 'Siti Amina' or '#ROSE-882-BP' with zero network latency</t>
  </si>
  <si>
    <t xml:space="preserve">#checkin-search (value='Siti Amina'), #btn-queue-checkin</t>
  </si>
  <si>
    <t xml:space="preserve">Client IndexedDB Filter</t>
  </si>
  <si>
    <t xml:space="preserve">F-04</t>
  </si>
  <si>
    <t xml:space="preserve">F04_Organizer_US09_Offline_Queue_Pending_Sync_State</t>
  </si>
  <si>
    <t xml:space="preserve">Offline Queue State (Indigo)</t>
  </si>
  <si>
    <t xml:space="preserve">Honest offline state showing Indigo PENDING_SYNC badges (#EEF2FF / #4F46E5) for 3 locally queued check-ins (#Q-104)</t>
  </si>
  <si>
    <t xml:space="preserve">.status-badge.pending-sync, #sync-queue-list, #offline-mode-banner</t>
  </si>
  <si>
    <t xml:space="preserve">IndexedDB Queue (op_id: OP-882-CHK-01)</t>
  </si>
  <si>
    <t xml:space="preserve">F-05</t>
  </si>
  <si>
    <t xml:space="preserve">F05_Organizer_US09_WalkIn_Intake_Modal_Empty</t>
  </si>
  <si>
    <t xml:space="preserve">Modal Overlay (Empty Walk-In)</t>
  </si>
  <si>
    <t xml:space="preserve">Event-day eligible B40 walk-in participant intake modal (empty form claiming remaining offline/walk-in capacity)</t>
  </si>
  <si>
    <t xml:space="preserve">#walkin-intake-modal, form#walkin-form</t>
  </si>
  <si>
    <t xml:space="preserve">Client Walk-In Modal Init</t>
  </si>
  <si>
    <t xml:space="preserve">F-06</t>
  </si>
  <si>
    <t xml:space="preserve">F06_Organizer_US09_WalkIn_Intake_Modal_Filled</t>
  </si>
  <si>
    <t xml:space="preserve">Modal Overlay (Filled Walk-In)</t>
  </si>
  <si>
    <t xml:space="preserve">Completed walk-in intake form (Zainab Binti Ali, 52yo, Eligible B40) ready to queue locally &amp; check in</t>
  </si>
  <si>
    <t xml:space="preserve">#walkin-intake-modal, #btn-submit-walkin</t>
  </si>
  <si>
    <t xml:space="preserve">Local Queue + POST /api/v1/checkins/sync</t>
  </si>
  <si>
    <t xml:space="preserve">F-07</t>
  </si>
  <si>
    <t xml:space="preserve">F07_Organizer_US09_Reconnection_Sync_Conflict_Detected</t>
  </si>
  <si>
    <t xml:space="preserve">409 Conflict Alert State</t>
  </si>
  <si>
    <t xml:space="preserve">Connectivity restored: 3 records return 200 OK SYNCED, while Faridah (#ROSE-711-BP) triggers 409 SYNC CONFLICT</t>
  </si>
  <si>
    <t xml:space="preserve">#conflict-alert-banner, .status-badge.conflict, #btn-resolve-conflict</t>
  </si>
  <si>
    <t xml:space="preserve">POST /api/v1/checkins/sync -&gt; 409 Conflict</t>
  </si>
  <si>
    <t xml:space="preserve">F-08</t>
  </si>
  <si>
    <t xml:space="preserve">F08_Organizer_US09_Offline_Sync_Conflict_Resolution_Dialog</t>
  </si>
  <si>
    <t xml:space="preserve">Modal Overlay (409 Resolution)</t>
  </si>
  <si>
    <t xml:space="preserve">Side-by-side conflict resolution dialog comparing Tablet A (08:41 Check-In) vs Server State (08:38 Cancelled)</t>
  </si>
  <si>
    <t xml:space="preserve">#conflict-resolution-card, #btn-accept-server, #btn-override-walkin</t>
  </si>
  <si>
    <t xml:space="preserve">PUT /api/v1/checkins/{op_id}/resolve</t>
  </si>
  <si>
    <t xml:space="preserve">F-09</t>
  </si>
  <si>
    <t xml:space="preserve">F09_Organizer_US09_Roster_Fully_Synced_Confirmed</t>
  </si>
  <si>
    <t xml:space="preserve">Fully Synced Roster State</t>
  </si>
  <si>
    <t xml:space="preserve">All queued check-ins and walk-ins reconciled with Server (0 Pending Sync, 0 Conflicts, rev-20261028-0920)</t>
  </si>
  <si>
    <t xml:space="preserve">#sync-status-emerald, #btn-closeout-handover</t>
  </si>
  <si>
    <t xml:space="preserve">GET /api/v1/events/{id}/roster (Synced)</t>
  </si>
  <si>
    <t xml:space="preserve">F-10</t>
  </si>
  <si>
    <t xml:space="preserve">F10_Organizer_US09_Closeout_Handover_And_Cache_Purge_Modal</t>
  </si>
  <si>
    <t xml:space="preserve">SCR-11 -&gt; SCR-12</t>
  </si>
  <si>
    <t xml:space="preserve">Modal Overlay (PDPA Purge)</t>
  </si>
  <si>
    <t xml:space="preserve">Session handover to SCR-12 Closeout Report and mandatory PDPA purge of local IndexedDB PII cache</t>
  </si>
  <si>
    <t xml:space="preserve">#pdpa-purge-modal, #btn-confirm-purge-and-closeout</t>
  </si>
  <si>
    <t xml:space="preserve">indexedDB.deleteDatabase('rose_roster_cache')</t>
  </si>
  <si>
    <t xml:space="preserve">ROSE Event Management — 12 Frontend HTML/JS Route Pages (SCR-01 to SCR-12) Grouped Summary</t>
  </si>
  <si>
    <t xml:space="preserve">Why 12 Routes vs 49 States: Frontend developers build 12 HTML/JS route files (SCR-01..SCR-12), and each route dynamically renders its corresponding Figma states, modals, and banners.</t>
  </si>
  <si>
    <t xml:space="preserve">Route ID</t>
  </si>
  <si>
    <t xml:space="preserve">Route Title</t>
  </si>
  <si>
    <t xml:space="preserve">Release &amp; GitHub Issues</t>
  </si>
  <si>
    <t xml:space="preserve">PM User Story</t>
  </si>
  <si>
    <t xml:space="preserve">Database Role &amp; Persona</t>
  </si>
  <si>
    <t xml:space="preserve">Included Figma States (from 49 States .fig)</t>
  </si>
  <si>
    <t xml:space="preserve">Frontend HTML &amp; JS Module</t>
  </si>
  <si>
    <t xml:space="preserve">Backend FastAPI Endpoint</t>
  </si>
  <si>
    <t xml:space="preserve">SCR-01</t>
  </si>
  <si>
    <t xml:space="preserve">Public Event List &amp; Search</t>
  </si>
  <si>
    <t xml:space="preserve">R1 (Implemented) #17, #18, #19</t>
  </si>
  <si>
    <t xml:space="preserve">US-06 (T-06-01), US-02</t>
  </si>
  <si>
    <t xml:space="preserve">Role 1: Participant (role='user' / Guest)</t>
  </si>
  <si>
    <t xml:space="preserve">P01, P02 (2 States)</t>
  </si>
  <si>
    <t xml:space="preserve">frontend/live/index.html + events.mjs</t>
  </si>
  <si>
    <t xml:space="preserve">#event-keyword (name='keyword'), #clear-search, #results-summary, #page-number, .masthead, #account-slot</t>
  </si>
  <si>
    <t xml:space="preserve">GET /api/v1/events (Query: page, pageSize, keyword -&gt; PaginatedEventResponse)</t>
  </si>
  <si>
    <t xml:space="preserve">SCR-02</t>
  </si>
  <si>
    <t xml:space="preserve">Clinic Detail, Capacity &amp; Share Modal</t>
  </si>
  <si>
    <t xml:space="preserve">US-02 (T-02-01), US-06 (T-06-01)</t>
  </si>
  <si>
    <t xml:space="preserve">P03, P04 (2 States)</t>
  </si>
  <si>
    <t xml:space="preserve">frontend/live/event.html + event-detail.mjs</t>
  </si>
  <si>
    <t xml:space="preserve">#detail-status (.status-badge), #not-accepting, #detail-retry, #choose-event ('Apply for this event -&gt;'), #share-clinic-modal</t>
  </si>
  <si>
    <t xml:space="preserve">GET /api/v1/events/{public_id} -&gt; EventResponse (online_quota, offline_quota, status=ACTIVE)</t>
  </si>
  <si>
    <t xml:space="preserve">SCR-03</t>
  </si>
  <si>
    <t xml:space="preserve">Role-Aware Account Registration</t>
  </si>
  <si>
    <t xml:space="preserve">R1 (Implemented) #23, #24, #25, #10, #31</t>
  </si>
  <si>
    <t xml:space="preserve">US-01 (T-01-01, T-01-02)</t>
  </si>
  <si>
    <t xml:space="preserve">All 3 DB Roles (user | organizer | leader)</t>
  </si>
  <si>
    <t xml:space="preserve">Auth Onboarding (Shared with L01 / O02)</t>
  </si>
  <si>
    <t xml:space="preserve">frontend/live/signup.html + signup.mjs</t>
  </si>
  <si>
    <t xml:space="preserve">input[name='username'] (3-20), input[name='password'] (&gt;=6), select[name='role'] (user|organizer|leader)</t>
  </si>
  <si>
    <t xml:space="preserve">POST /api/v1/users (Body: UserCreate -&gt; 201 UserResponse with ULID id &amp; UserRole Enum)</t>
  </si>
  <si>
    <t xml:space="preserve">SCR-04</t>
  </si>
  <si>
    <t xml:space="preserve">Role-Aware Sign In &amp; 403 RBAC Guard</t>
  </si>
  <si>
    <t xml:space="preserve">R1 (Implemented) #7, #8, #9, #10</t>
  </si>
  <si>
    <t xml:space="preserve">US-01 (T-01-01)</t>
  </si>
  <si>
    <t xml:space="preserve">L01, L02, O01, O02, F01 (5 States)</t>
  </si>
  <si>
    <t xml:space="preserve">frontend/live/login.html + login.mjs, session.mjs</t>
  </si>
  <si>
    <t xml:space="preserve">input[name='username'], input[name='password'], button ('Log in'), #account-slot, #login-prompt, #organizer-prompt</t>
  </si>
  <si>
    <t xml:space="preserve">POST /api/v1/auth/login (or /auth/token), GET /api/v1/users/me -&gt; Bearer JWT</t>
  </si>
  <si>
    <t xml:space="preserve">SCR-05</t>
  </si>
  <si>
    <t xml:space="preserve">Organizer Schedule Session (Dual Quotas)</t>
  </si>
  <si>
    <t xml:space="preserve">R1 (Implemented) #12, #13, #14, #32</t>
  </si>
  <si>
    <t xml:space="preserve">US-02 (T-02-01, T-02-02)</t>
  </si>
  <si>
    <t xml:space="preserve">Role 3A: ROSE Organizer (role='organizer')</t>
  </si>
  <si>
    <t xml:space="preserve">O03, O04, O05, O06 (4 States)</t>
  </si>
  <si>
    <t xml:space="preserve">frontend/live/create-event.html + create-event.mjs</t>
  </si>
  <si>
    <t xml:space="preserve">#auth-notice, #login-prompt, #organizer-prompt, title, overview, location, online_quota, offline_quota, start_time, end_time</t>
  </si>
  <si>
    <t xml:space="preserve">POST /api/v1/events (Body: EventCreate; Organizer Bearer Token required; 403 otherwise)</t>
  </si>
  <si>
    <t xml:space="preserve">SCR-06</t>
  </si>
  <si>
    <t xml:space="preserve">Participant 7-Field Application Form</t>
  </si>
  <si>
    <t xml:space="preserve">R1 (Implemented) #20, #21, #22, #26</t>
  </si>
  <si>
    <t xml:space="preserve">US-06 (T-06-01, T-06-02)</t>
  </si>
  <si>
    <t xml:space="preserve">P05, P06E, P06 (3 States)</t>
  </si>
  <si>
    <t xml:space="preserve">frontend/live/registration.html + registration.mjs</t>
  </si>
  <si>
    <t xml:space="preserve">first_name (&lt;=20), last_name (&lt;=20), gender (male/female), date_of_birth, phone (&lt;=20), address (opt), national_id (opt &lt;=50)</t>
  </si>
  <si>
    <t xml:space="preserve">POST /api/v1/participants (Body: ParticipantCreate -&gt; 201 ParticipantResponse)</t>
  </si>
  <si>
    <t xml:space="preserve">SCR-07</t>
  </si>
  <si>
    <t xml:space="preserve">SMS OTP, QR Booking Pass, Cancel &amp; Waitlist</t>
  </si>
  <si>
    <t xml:space="preserve">R2 (Planned Ready) #34, #35, #36, #37</t>
  </si>
  <si>
    <t xml:space="preserve">US-08 (T-08-01~03), US-06</t>
  </si>
  <si>
    <t xml:space="preserve">P07, P08, P09, P10, P11, P12, P13, P14 (8 States)</t>
  </si>
  <si>
    <t xml:space="preserve">Planned: my-bookings.html (extends registration.mjs)</t>
  </si>
  <si>
    <t xml:space="preserve">#otp-code, #booking-status-badge, #btn-cancel-booking, #waitlist-form, #waitlist-offer-banner, #btn-claim-waitlist</t>
  </si>
  <si>
    <t xml:space="preserve">POST /api/v1/auth/otp, GET /api/v1/participants/me, PUT /api/v1/registrations/{id} (cancel/waitlist)</t>
  </si>
  <si>
    <t xml:space="preserve">SCR-08</t>
  </si>
  <si>
    <t xml:space="preserve">Community Leader Outreach &amp; Referral Hub</t>
  </si>
  <si>
    <t xml:space="preserve">R2 (Planned Ready) #31, #32</t>
  </si>
  <si>
    <t xml:space="preserve">US-03 (T-03-01), US-04 (T-04-01~03)</t>
  </si>
  <si>
    <t xml:space="preserve">Role 2: Community Leader (role='leader')</t>
  </si>
  <si>
    <t xml:space="preserve">L03, L04, L05, L11, L12 (5 States)</t>
  </si>
  <si>
    <t xml:space="preserve">Planned: leader-hub.html (aligned with mock v1.2.1)</t>
  </si>
  <si>
    <t xml:space="preserve">#leader-quota-bar, #referral-link-box, #btn-copy-whatsapp, #btn-generate-brochure, #flyers-distributed-input (1-500)</t>
  </si>
  <si>
    <t xml:space="preserve">GET /api/v1/events/{id}/leader-quota, POST /api/v1/events/{eventId}/brochures/generations, POST /api/v1/outreach-reports</t>
  </si>
  <si>
    <t xml:space="preserve">SCR-09</t>
  </si>
  <si>
    <t xml:space="preserve">Leader Assisted Proxy Intake &amp; Camera OCR</t>
  </si>
  <si>
    <t xml:space="preserve">R2 (Planned Ready) #32, US-07 Split</t>
  </si>
  <si>
    <t xml:space="preserve">US-07 (T-07-01~03), US-05 (T-05-03)</t>
  </si>
  <si>
    <t xml:space="preserve">L06, L07, L08, L09, L10 (5 States)</t>
  </si>
  <si>
    <t xml:space="preserve">Planned: leader-assist.html (aligned with mock v1.2.1)</t>
  </si>
  <si>
    <t xml:space="preserve">#btn-scan-paper-form, #ocr-review-banner, 7-field proxy form (.ocr-amber-verify), #proxy-receipt-slip</t>
  </si>
  <si>
    <t xml:space="preserve">POST /api/v1/ocr/scan-form, POST /api/v1/participants (offline_quota pool -&gt; #ROSE-PROXY-884)</t>
  </si>
  <si>
    <t xml:space="preserve">SCR-10</t>
  </si>
  <si>
    <t xml:space="preserve">Organizer Live Demand Monitor &amp; Review Queue</t>
  </si>
  <si>
    <t xml:space="preserve">R2 (Planned Ready) #32, #33</t>
  </si>
  <si>
    <t xml:space="preserve">US-05 (T-05-01~03), US-06.2, US-02</t>
  </si>
  <si>
    <t xml:space="preserve">O07, O08, O09, O10 (4 States)</t>
  </si>
  <si>
    <t xml:space="preserve">Planned: organizer-dashboard.html</t>
  </si>
  <si>
    <t xml:space="preserve">#stat-confirmed, #stat-pending-review, #stat-waitlist, #stat-reported-flyers, #btn-signal-pause, #btn-send-notice</t>
  </si>
  <si>
    <t xml:space="preserve">GET /api/v1/events/{id}/summary (shared T-05-01 aggregation), POST /api/v1/events/{id}/notices</t>
  </si>
  <si>
    <t xml:space="preserve">SCR-11</t>
  </si>
  <si>
    <t xml:space="preserve">Organizer US-09 Offline Check-In &amp; Walk-In</t>
  </si>
  <si>
    <t xml:space="preserve">R3 (Planned W10-12) US-09 Story Map</t>
  </si>
  <si>
    <t xml:space="preserve">US-09 (T-09-01~03)</t>
  </si>
  <si>
    <t xml:space="preserve">Role 3B: Organizer US-09 Sub-Function (role='organizer')</t>
  </si>
  <si>
    <t xml:space="preserve">F02, F03, F04, F05, F06, F07, F08, F09, F10 (9 States + F01)</t>
  </si>
  <si>
    <t xml:space="preserve">Planned: field-checkin.html (aligned with mock v1.2.1)</t>
  </si>
  <si>
    <t xml:space="preserve">#roster-revision-tag, #checkin-search, #btn-queue-checkin, #sync-queue-list, #btn-register-walkin, #conflict-resolution-card</t>
  </si>
  <si>
    <t xml:space="preserve">GET /api/v1/events/{id}/roster, POST /api/v1/checkins/sync (idempotent op_id -&gt; SYNCED | CONFLICT)</t>
  </si>
  <si>
    <t xml:space="preserve">SCR-12</t>
  </si>
  <si>
    <t xml:space="preserve">Event Closeout &amp; Leader Attribution Report</t>
  </si>
  <si>
    <t xml:space="preserve">R3 (Planned W10-12) US-10 Story Map</t>
  </si>
  <si>
    <t xml:space="preserve">US-10 (T-10-01~03), US-03 (T-03-03)</t>
  </si>
  <si>
    <t xml:space="preserve">O11, O12 (2 States)</t>
  </si>
  <si>
    <t xml:space="preserve">Planned: event-closeout.html</t>
  </si>
  <si>
    <t xml:space="preserve">GET /api/v1/events/{id}/closeout-summary (reuses T-05-01 shared aggregation component)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</si>
</sst>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10"/>
      <color rgb="FF18241E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1F554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8241E"/>
      <name val="Calibri"/>
      <family val="0"/>
      <charset val="1"/>
    </font>
    <font>
      <sz val="10"/>
      <color rgb="FF18241E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5547"/>
        <bgColor rgb="FF333300"/>
      </patternFill>
    </fill>
    <fill>
      <patternFill patternType="solid">
        <fgColor rgb="FFEDF1E4"/>
        <bgColor rgb="FFF6F8F4"/>
      </patternFill>
    </fill>
    <fill>
      <patternFill patternType="solid">
        <fgColor rgb="FFFFFFFF"/>
        <bgColor rgb="FFF6F8F4"/>
      </patternFill>
    </fill>
    <fill>
      <patternFill patternType="solid">
        <fgColor rgb="FFF6F8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D5"/>
      </left>
      <right style="thin">
        <color rgb="FFD9E1D5"/>
      </right>
      <top style="thin">
        <color rgb="FFD9E1D5"/>
      </top>
      <bottom style="thin">
        <color rgb="FFD9E1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4"/>
      <rgbColor rgb="FFCCFFFF"/>
      <rgbColor rgb="FF660066"/>
      <rgbColor rgb="FFFF8080"/>
      <rgbColor rgb="FF0066CC"/>
      <rgbColor rgb="FFD9E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F1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547"/>
      <rgbColor rgb="FF339966"/>
      <rgbColor rgb="FF003300"/>
      <rgbColor rgb="FF333300"/>
      <rgbColor rgb="FF993300"/>
      <rgbColor rgb="FF993366"/>
      <rgbColor rgb="FF333399"/>
      <rgbColor rgb="FF1824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5" min="4" style="0" width="22"/>
    <col collapsed="false" customWidth="true" hidden="false" outlineLevel="0" max="6" min="6" style="0" width="42"/>
    <col collapsed="false" customWidth="true" hidden="false" outlineLevel="0" max="8" min="7" style="0" width="3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24" hidden="false" customHeight="true" outlineLevel="0" collapsed="false">
      <c r="A5" s="4" t="str">
        <f aca="false">COUNTA(A8:A56)&amp;" Interactive States"</f>
        <v>49 Interactive States</v>
      </c>
      <c r="B5" s="4"/>
      <c r="C5" s="4" t="str">
        <f aca="false">COUNTIF(C8:C56,"*Participant*")&amp;" States (P01..P14 + P06E)"</f>
        <v>15 States (P01..P14 + P06E)</v>
      </c>
      <c r="D5" s="4"/>
      <c r="E5" s="4" t="str">
        <f aca="false">COUNTIF(C8:C56,"*Leader*")&amp;" States (L01..L12)"</f>
        <v>12 States (L01..L12)</v>
      </c>
      <c r="F5" s="4"/>
      <c r="G5" s="4" t="str">
        <f aca="false">COUNTIF(C8:C56,"*Organizer*")&amp;" States (O01..O12 + F01..F10)"</f>
        <v>22 States (O01..O12 + F01..F10)</v>
      </c>
      <c r="H5" s="4"/>
    </row>
    <row r="7" customFormat="false" ht="25.5" hidden="false" customHeight="true" outlineLevel="0" collapsed="false">
      <c r="A7" s="5" t="s">
        <v>6</v>
      </c>
      <c r="B7" s="6" t="s">
        <v>7</v>
      </c>
      <c r="C7" s="6" t="s">
        <v>8</v>
      </c>
      <c r="D7" s="5" t="s">
        <v>9</v>
      </c>
      <c r="E7" s="6" t="s">
        <v>10</v>
      </c>
      <c r="F7" s="6" t="s">
        <v>11</v>
      </c>
      <c r="G7" s="6" t="s">
        <v>12</v>
      </c>
      <c r="H7" s="6" t="s">
        <v>13</v>
      </c>
    </row>
    <row r="8" customFormat="false" ht="31.5" hidden="false" customHeight="true" outlineLevel="0" collapsed="false">
      <c r="A8" s="7" t="s">
        <v>14</v>
      </c>
      <c r="B8" s="8" t="s">
        <v>15</v>
      </c>
      <c r="C8" s="9" t="s">
        <v>16</v>
      </c>
      <c r="D8" s="10" t="s">
        <v>17</v>
      </c>
      <c r="E8" s="9" t="s">
        <v>18</v>
      </c>
      <c r="F8" s="9" t="s">
        <v>19</v>
      </c>
      <c r="G8" s="9" t="s">
        <v>20</v>
      </c>
      <c r="H8" s="9" t="s">
        <v>21</v>
      </c>
    </row>
    <row r="9" customFormat="false" ht="31.5" hidden="false" customHeight="true" outlineLevel="0" collapsed="false">
      <c r="A9" s="11" t="s">
        <v>22</v>
      </c>
      <c r="B9" s="12" t="s">
        <v>23</v>
      </c>
      <c r="C9" s="13" t="s">
        <v>16</v>
      </c>
      <c r="D9" s="14" t="s">
        <v>17</v>
      </c>
      <c r="E9" s="13" t="s">
        <v>24</v>
      </c>
      <c r="F9" s="13" t="s">
        <v>25</v>
      </c>
      <c r="G9" s="13" t="s">
        <v>26</v>
      </c>
      <c r="H9" s="13" t="s">
        <v>27</v>
      </c>
    </row>
    <row r="10" customFormat="false" ht="31.5" hidden="false" customHeight="true" outlineLevel="0" collapsed="false">
      <c r="A10" s="7" t="s">
        <v>28</v>
      </c>
      <c r="B10" s="8" t="s">
        <v>29</v>
      </c>
      <c r="C10" s="9" t="s">
        <v>16</v>
      </c>
      <c r="D10" s="10" t="s">
        <v>30</v>
      </c>
      <c r="E10" s="9" t="s">
        <v>31</v>
      </c>
      <c r="F10" s="9" t="s">
        <v>32</v>
      </c>
      <c r="G10" s="9" t="s">
        <v>33</v>
      </c>
      <c r="H10" s="9" t="s">
        <v>34</v>
      </c>
    </row>
    <row r="11" customFormat="false" ht="31.5" hidden="false" customHeight="true" outlineLevel="0" collapsed="false">
      <c r="A11" s="11" t="s">
        <v>35</v>
      </c>
      <c r="B11" s="12" t="s">
        <v>36</v>
      </c>
      <c r="C11" s="13" t="s">
        <v>16</v>
      </c>
      <c r="D11" s="14" t="s">
        <v>30</v>
      </c>
      <c r="E11" s="13" t="s">
        <v>37</v>
      </c>
      <c r="F11" s="13" t="s">
        <v>38</v>
      </c>
      <c r="G11" s="13" t="s">
        <v>39</v>
      </c>
      <c r="H11" s="13" t="s">
        <v>40</v>
      </c>
    </row>
    <row r="12" customFormat="false" ht="31.5" hidden="false" customHeight="true" outlineLevel="0" collapsed="false">
      <c r="A12" s="7" t="s">
        <v>41</v>
      </c>
      <c r="B12" s="8" t="s">
        <v>42</v>
      </c>
      <c r="C12" s="9" t="s">
        <v>16</v>
      </c>
      <c r="D12" s="10" t="s">
        <v>43</v>
      </c>
      <c r="E12" s="9" t="s">
        <v>44</v>
      </c>
      <c r="F12" s="9" t="s">
        <v>45</v>
      </c>
      <c r="G12" s="9" t="s">
        <v>46</v>
      </c>
      <c r="H12" s="9" t="s">
        <v>47</v>
      </c>
    </row>
    <row r="13" customFormat="false" ht="31.5" hidden="false" customHeight="true" outlineLevel="0" collapsed="false">
      <c r="A13" s="11" t="s">
        <v>48</v>
      </c>
      <c r="B13" s="12" t="s">
        <v>49</v>
      </c>
      <c r="C13" s="13" t="s">
        <v>16</v>
      </c>
      <c r="D13" s="14" t="s">
        <v>43</v>
      </c>
      <c r="E13" s="13" t="s">
        <v>50</v>
      </c>
      <c r="F13" s="13" t="s">
        <v>51</v>
      </c>
      <c r="G13" s="13" t="s">
        <v>52</v>
      </c>
      <c r="H13" s="13" t="s">
        <v>53</v>
      </c>
    </row>
    <row r="14" customFormat="false" ht="31.5" hidden="false" customHeight="true" outlineLevel="0" collapsed="false">
      <c r="A14" s="7" t="s">
        <v>54</v>
      </c>
      <c r="B14" s="8" t="s">
        <v>55</v>
      </c>
      <c r="C14" s="9" t="s">
        <v>16</v>
      </c>
      <c r="D14" s="10" t="s">
        <v>43</v>
      </c>
      <c r="E14" s="9" t="s">
        <v>56</v>
      </c>
      <c r="F14" s="9" t="s">
        <v>57</v>
      </c>
      <c r="G14" s="9" t="s">
        <v>58</v>
      </c>
      <c r="H14" s="9" t="s">
        <v>59</v>
      </c>
    </row>
    <row r="15" customFormat="false" ht="31.5" hidden="false" customHeight="true" outlineLevel="0" collapsed="false">
      <c r="A15" s="11" t="s">
        <v>60</v>
      </c>
      <c r="B15" s="12" t="s">
        <v>61</v>
      </c>
      <c r="C15" s="13" t="s">
        <v>16</v>
      </c>
      <c r="D15" s="14" t="s">
        <v>62</v>
      </c>
      <c r="E15" s="13" t="s">
        <v>63</v>
      </c>
      <c r="F15" s="13" t="s">
        <v>64</v>
      </c>
      <c r="G15" s="13" t="s">
        <v>65</v>
      </c>
      <c r="H15" s="13" t="s">
        <v>66</v>
      </c>
    </row>
    <row r="16" customFormat="false" ht="31.5" hidden="false" customHeight="true" outlineLevel="0" collapsed="false">
      <c r="A16" s="7" t="s">
        <v>67</v>
      </c>
      <c r="B16" s="8" t="s">
        <v>68</v>
      </c>
      <c r="C16" s="9" t="s">
        <v>16</v>
      </c>
      <c r="D16" s="10" t="s">
        <v>62</v>
      </c>
      <c r="E16" s="9" t="s">
        <v>69</v>
      </c>
      <c r="F16" s="9" t="s">
        <v>70</v>
      </c>
      <c r="G16" s="9" t="s">
        <v>71</v>
      </c>
      <c r="H16" s="9" t="s">
        <v>72</v>
      </c>
    </row>
    <row r="17" customFormat="false" ht="31.5" hidden="false" customHeight="true" outlineLevel="0" collapsed="false">
      <c r="A17" s="11" t="s">
        <v>73</v>
      </c>
      <c r="B17" s="12" t="s">
        <v>74</v>
      </c>
      <c r="C17" s="13" t="s">
        <v>16</v>
      </c>
      <c r="D17" s="14" t="s">
        <v>75</v>
      </c>
      <c r="E17" s="13" t="s">
        <v>76</v>
      </c>
      <c r="F17" s="13" t="s">
        <v>77</v>
      </c>
      <c r="G17" s="13" t="s">
        <v>78</v>
      </c>
      <c r="H17" s="13" t="s">
        <v>79</v>
      </c>
    </row>
    <row r="18" customFormat="false" ht="31.5" hidden="false" customHeight="true" outlineLevel="0" collapsed="false">
      <c r="A18" s="7" t="s">
        <v>80</v>
      </c>
      <c r="B18" s="8" t="s">
        <v>81</v>
      </c>
      <c r="C18" s="9" t="s">
        <v>16</v>
      </c>
      <c r="D18" s="10" t="s">
        <v>75</v>
      </c>
      <c r="E18" s="9" t="s">
        <v>82</v>
      </c>
      <c r="F18" s="9" t="s">
        <v>83</v>
      </c>
      <c r="G18" s="9" t="s">
        <v>84</v>
      </c>
      <c r="H18" s="9" t="s">
        <v>85</v>
      </c>
    </row>
    <row r="19" customFormat="false" ht="31.5" hidden="false" customHeight="true" outlineLevel="0" collapsed="false">
      <c r="A19" s="11" t="s">
        <v>86</v>
      </c>
      <c r="B19" s="12" t="s">
        <v>87</v>
      </c>
      <c r="C19" s="13" t="s">
        <v>16</v>
      </c>
      <c r="D19" s="14" t="s">
        <v>88</v>
      </c>
      <c r="E19" s="13" t="s">
        <v>89</v>
      </c>
      <c r="F19" s="13" t="s">
        <v>90</v>
      </c>
      <c r="G19" s="13" t="s">
        <v>91</v>
      </c>
      <c r="H19" s="13" t="s">
        <v>92</v>
      </c>
    </row>
    <row r="20" customFormat="false" ht="31.5" hidden="false" customHeight="true" outlineLevel="0" collapsed="false">
      <c r="A20" s="7" t="s">
        <v>93</v>
      </c>
      <c r="B20" s="8" t="s">
        <v>94</v>
      </c>
      <c r="C20" s="9" t="s">
        <v>16</v>
      </c>
      <c r="D20" s="10" t="s">
        <v>75</v>
      </c>
      <c r="E20" s="9" t="s">
        <v>95</v>
      </c>
      <c r="F20" s="9" t="s">
        <v>96</v>
      </c>
      <c r="G20" s="9" t="s">
        <v>97</v>
      </c>
      <c r="H20" s="9" t="s">
        <v>98</v>
      </c>
    </row>
    <row r="21" customFormat="false" ht="31.5" hidden="false" customHeight="true" outlineLevel="0" collapsed="false">
      <c r="A21" s="11" t="s">
        <v>99</v>
      </c>
      <c r="B21" s="12" t="s">
        <v>100</v>
      </c>
      <c r="C21" s="13" t="s">
        <v>16</v>
      </c>
      <c r="D21" s="14" t="s">
        <v>75</v>
      </c>
      <c r="E21" s="13" t="s">
        <v>101</v>
      </c>
      <c r="F21" s="13" t="s">
        <v>102</v>
      </c>
      <c r="G21" s="13" t="s">
        <v>103</v>
      </c>
      <c r="H21" s="13" t="s">
        <v>104</v>
      </c>
    </row>
    <row r="22" customFormat="false" ht="31.5" hidden="false" customHeight="true" outlineLevel="0" collapsed="false">
      <c r="A22" s="7" t="s">
        <v>105</v>
      </c>
      <c r="B22" s="8" t="s">
        <v>106</v>
      </c>
      <c r="C22" s="9" t="s">
        <v>16</v>
      </c>
      <c r="D22" s="10" t="s">
        <v>75</v>
      </c>
      <c r="E22" s="9" t="s">
        <v>107</v>
      </c>
      <c r="F22" s="9" t="s">
        <v>108</v>
      </c>
      <c r="G22" s="9" t="s">
        <v>109</v>
      </c>
      <c r="H22" s="9" t="s">
        <v>110</v>
      </c>
    </row>
    <row r="23" customFormat="false" ht="31.5" hidden="false" customHeight="true" outlineLevel="0" collapsed="false">
      <c r="A23" s="11" t="s">
        <v>111</v>
      </c>
      <c r="B23" s="12" t="s">
        <v>112</v>
      </c>
      <c r="C23" s="13" t="s">
        <v>113</v>
      </c>
      <c r="D23" s="14" t="s">
        <v>114</v>
      </c>
      <c r="E23" s="13" t="s">
        <v>115</v>
      </c>
      <c r="F23" s="13" t="s">
        <v>116</v>
      </c>
      <c r="G23" s="13" t="s">
        <v>117</v>
      </c>
      <c r="H23" s="13" t="s">
        <v>118</v>
      </c>
    </row>
    <row r="24" customFormat="false" ht="31.5" hidden="false" customHeight="true" outlineLevel="0" collapsed="false">
      <c r="A24" s="7" t="s">
        <v>119</v>
      </c>
      <c r="B24" s="8" t="s">
        <v>120</v>
      </c>
      <c r="C24" s="9" t="s">
        <v>113</v>
      </c>
      <c r="D24" s="10" t="s">
        <v>114</v>
      </c>
      <c r="E24" s="9" t="s">
        <v>121</v>
      </c>
      <c r="F24" s="9" t="s">
        <v>122</v>
      </c>
      <c r="G24" s="9" t="s">
        <v>123</v>
      </c>
      <c r="H24" s="9" t="s">
        <v>124</v>
      </c>
    </row>
    <row r="25" customFormat="false" ht="31.5" hidden="false" customHeight="true" outlineLevel="0" collapsed="false">
      <c r="A25" s="11" t="s">
        <v>125</v>
      </c>
      <c r="B25" s="12" t="s">
        <v>126</v>
      </c>
      <c r="C25" s="13" t="s">
        <v>113</v>
      </c>
      <c r="D25" s="14" t="s">
        <v>127</v>
      </c>
      <c r="E25" s="13" t="s">
        <v>128</v>
      </c>
      <c r="F25" s="13" t="s">
        <v>129</v>
      </c>
      <c r="G25" s="13" t="s">
        <v>130</v>
      </c>
      <c r="H25" s="13" t="s">
        <v>131</v>
      </c>
    </row>
    <row r="26" customFormat="false" ht="31.5" hidden="false" customHeight="true" outlineLevel="0" collapsed="false">
      <c r="A26" s="7" t="s">
        <v>132</v>
      </c>
      <c r="B26" s="8" t="s">
        <v>133</v>
      </c>
      <c r="C26" s="9" t="s">
        <v>113</v>
      </c>
      <c r="D26" s="10" t="s">
        <v>127</v>
      </c>
      <c r="E26" s="9" t="s">
        <v>37</v>
      </c>
      <c r="F26" s="9" t="s">
        <v>134</v>
      </c>
      <c r="G26" s="9" t="s">
        <v>135</v>
      </c>
      <c r="H26" s="9" t="s">
        <v>136</v>
      </c>
    </row>
    <row r="27" customFormat="false" ht="31.5" hidden="false" customHeight="true" outlineLevel="0" collapsed="false">
      <c r="A27" s="11" t="s">
        <v>137</v>
      </c>
      <c r="B27" s="12" t="s">
        <v>138</v>
      </c>
      <c r="C27" s="13" t="s">
        <v>113</v>
      </c>
      <c r="D27" s="14" t="s">
        <v>127</v>
      </c>
      <c r="E27" s="13" t="s">
        <v>139</v>
      </c>
      <c r="F27" s="13" t="s">
        <v>140</v>
      </c>
      <c r="G27" s="13" t="s">
        <v>141</v>
      </c>
      <c r="H27" s="13" t="s">
        <v>142</v>
      </c>
    </row>
    <row r="28" customFormat="false" ht="31.5" hidden="false" customHeight="true" outlineLevel="0" collapsed="false">
      <c r="A28" s="7" t="s">
        <v>143</v>
      </c>
      <c r="B28" s="8" t="s">
        <v>144</v>
      </c>
      <c r="C28" s="9" t="s">
        <v>113</v>
      </c>
      <c r="D28" s="10" t="s">
        <v>145</v>
      </c>
      <c r="E28" s="9" t="s">
        <v>146</v>
      </c>
      <c r="F28" s="9" t="s">
        <v>147</v>
      </c>
      <c r="G28" s="9" t="s">
        <v>148</v>
      </c>
      <c r="H28" s="9" t="s">
        <v>149</v>
      </c>
    </row>
    <row r="29" customFormat="false" ht="31.5" hidden="false" customHeight="true" outlineLevel="0" collapsed="false">
      <c r="A29" s="11" t="s">
        <v>150</v>
      </c>
      <c r="B29" s="12" t="s">
        <v>151</v>
      </c>
      <c r="C29" s="13" t="s">
        <v>113</v>
      </c>
      <c r="D29" s="14" t="s">
        <v>145</v>
      </c>
      <c r="E29" s="13" t="s">
        <v>152</v>
      </c>
      <c r="F29" s="13" t="s">
        <v>153</v>
      </c>
      <c r="G29" s="13" t="s">
        <v>154</v>
      </c>
      <c r="H29" s="13" t="s">
        <v>155</v>
      </c>
    </row>
    <row r="30" customFormat="false" ht="31.5" hidden="false" customHeight="true" outlineLevel="0" collapsed="false">
      <c r="A30" s="7" t="s">
        <v>156</v>
      </c>
      <c r="B30" s="8" t="s">
        <v>157</v>
      </c>
      <c r="C30" s="9" t="s">
        <v>113</v>
      </c>
      <c r="D30" s="10" t="s">
        <v>145</v>
      </c>
      <c r="E30" s="9" t="s">
        <v>158</v>
      </c>
      <c r="F30" s="9" t="s">
        <v>159</v>
      </c>
      <c r="G30" s="9" t="s">
        <v>160</v>
      </c>
      <c r="H30" s="9" t="s">
        <v>161</v>
      </c>
    </row>
    <row r="31" customFormat="false" ht="31.5" hidden="false" customHeight="true" outlineLevel="0" collapsed="false">
      <c r="A31" s="11" t="s">
        <v>162</v>
      </c>
      <c r="B31" s="12" t="s">
        <v>163</v>
      </c>
      <c r="C31" s="13" t="s">
        <v>113</v>
      </c>
      <c r="D31" s="14" t="s">
        <v>145</v>
      </c>
      <c r="E31" s="13" t="s">
        <v>164</v>
      </c>
      <c r="F31" s="13" t="s">
        <v>165</v>
      </c>
      <c r="G31" s="13" t="s">
        <v>166</v>
      </c>
      <c r="H31" s="13" t="s">
        <v>167</v>
      </c>
    </row>
    <row r="32" customFormat="false" ht="31.5" hidden="false" customHeight="true" outlineLevel="0" collapsed="false">
      <c r="A32" s="7" t="s">
        <v>168</v>
      </c>
      <c r="B32" s="8" t="s">
        <v>169</v>
      </c>
      <c r="C32" s="9" t="s">
        <v>113</v>
      </c>
      <c r="D32" s="10" t="s">
        <v>145</v>
      </c>
      <c r="E32" s="9" t="s">
        <v>170</v>
      </c>
      <c r="F32" s="9" t="s">
        <v>171</v>
      </c>
      <c r="G32" s="9" t="s">
        <v>172</v>
      </c>
      <c r="H32" s="9" t="s">
        <v>173</v>
      </c>
    </row>
    <row r="33" customFormat="false" ht="31.5" hidden="false" customHeight="true" outlineLevel="0" collapsed="false">
      <c r="A33" s="11" t="s">
        <v>174</v>
      </c>
      <c r="B33" s="12" t="s">
        <v>175</v>
      </c>
      <c r="C33" s="13" t="s">
        <v>113</v>
      </c>
      <c r="D33" s="14" t="s">
        <v>127</v>
      </c>
      <c r="E33" s="13" t="s">
        <v>176</v>
      </c>
      <c r="F33" s="13" t="s">
        <v>177</v>
      </c>
      <c r="G33" s="13" t="s">
        <v>178</v>
      </c>
      <c r="H33" s="13" t="s">
        <v>179</v>
      </c>
    </row>
    <row r="34" customFormat="false" ht="31.5" hidden="false" customHeight="true" outlineLevel="0" collapsed="false">
      <c r="A34" s="7" t="s">
        <v>180</v>
      </c>
      <c r="B34" s="8" t="s">
        <v>181</v>
      </c>
      <c r="C34" s="9" t="s">
        <v>113</v>
      </c>
      <c r="D34" s="10" t="s">
        <v>127</v>
      </c>
      <c r="E34" s="9" t="s">
        <v>182</v>
      </c>
      <c r="F34" s="9" t="s">
        <v>183</v>
      </c>
      <c r="G34" s="9" t="s">
        <v>184</v>
      </c>
      <c r="H34" s="9" t="s">
        <v>185</v>
      </c>
    </row>
    <row r="35" customFormat="false" ht="31.5" hidden="false" customHeight="true" outlineLevel="0" collapsed="false">
      <c r="A35" s="11" t="s">
        <v>186</v>
      </c>
      <c r="B35" s="12" t="s">
        <v>187</v>
      </c>
      <c r="C35" s="13" t="s">
        <v>188</v>
      </c>
      <c r="D35" s="14" t="s">
        <v>189</v>
      </c>
      <c r="E35" s="13" t="s">
        <v>190</v>
      </c>
      <c r="F35" s="13" t="s">
        <v>191</v>
      </c>
      <c r="G35" s="13" t="s">
        <v>192</v>
      </c>
      <c r="H35" s="13" t="s">
        <v>193</v>
      </c>
    </row>
    <row r="36" customFormat="false" ht="31.5" hidden="false" customHeight="true" outlineLevel="0" collapsed="false">
      <c r="A36" s="7" t="s">
        <v>194</v>
      </c>
      <c r="B36" s="8" t="s">
        <v>195</v>
      </c>
      <c r="C36" s="9" t="s">
        <v>188</v>
      </c>
      <c r="D36" s="10" t="s">
        <v>114</v>
      </c>
      <c r="E36" s="9" t="s">
        <v>121</v>
      </c>
      <c r="F36" s="9" t="s">
        <v>196</v>
      </c>
      <c r="G36" s="9" t="s">
        <v>197</v>
      </c>
      <c r="H36" s="9" t="s">
        <v>198</v>
      </c>
    </row>
    <row r="37" customFormat="false" ht="31.5" hidden="false" customHeight="true" outlineLevel="0" collapsed="false">
      <c r="A37" s="11" t="s">
        <v>199</v>
      </c>
      <c r="B37" s="12" t="s">
        <v>200</v>
      </c>
      <c r="C37" s="13" t="s">
        <v>188</v>
      </c>
      <c r="D37" s="14" t="s">
        <v>201</v>
      </c>
      <c r="E37" s="13" t="s">
        <v>44</v>
      </c>
      <c r="F37" s="13" t="s">
        <v>202</v>
      </c>
      <c r="G37" s="13" t="s">
        <v>203</v>
      </c>
      <c r="H37" s="13" t="s">
        <v>204</v>
      </c>
    </row>
    <row r="38" customFormat="false" ht="31.5" hidden="false" customHeight="true" outlineLevel="0" collapsed="false">
      <c r="A38" s="7" t="s">
        <v>205</v>
      </c>
      <c r="B38" s="8" t="s">
        <v>206</v>
      </c>
      <c r="C38" s="9" t="s">
        <v>188</v>
      </c>
      <c r="D38" s="10" t="s">
        <v>201</v>
      </c>
      <c r="E38" s="9" t="s">
        <v>50</v>
      </c>
      <c r="F38" s="9" t="s">
        <v>207</v>
      </c>
      <c r="G38" s="9" t="s">
        <v>208</v>
      </c>
      <c r="H38" s="9" t="s">
        <v>209</v>
      </c>
    </row>
    <row r="39" customFormat="false" ht="31.5" hidden="false" customHeight="true" outlineLevel="0" collapsed="false">
      <c r="A39" s="11" t="s">
        <v>210</v>
      </c>
      <c r="B39" s="12" t="s">
        <v>211</v>
      </c>
      <c r="C39" s="13" t="s">
        <v>188</v>
      </c>
      <c r="D39" s="14" t="s">
        <v>201</v>
      </c>
      <c r="E39" s="13" t="s">
        <v>56</v>
      </c>
      <c r="F39" s="13" t="s">
        <v>212</v>
      </c>
      <c r="G39" s="13" t="s">
        <v>213</v>
      </c>
      <c r="H39" s="13" t="s">
        <v>214</v>
      </c>
    </row>
    <row r="40" customFormat="false" ht="31.5" hidden="false" customHeight="true" outlineLevel="0" collapsed="false">
      <c r="A40" s="7" t="s">
        <v>215</v>
      </c>
      <c r="B40" s="8" t="s">
        <v>216</v>
      </c>
      <c r="C40" s="9" t="s">
        <v>188</v>
      </c>
      <c r="D40" s="10" t="s">
        <v>201</v>
      </c>
      <c r="E40" s="9" t="s">
        <v>217</v>
      </c>
      <c r="F40" s="9" t="s">
        <v>218</v>
      </c>
      <c r="G40" s="9" t="s">
        <v>219</v>
      </c>
      <c r="H40" s="9" t="s">
        <v>220</v>
      </c>
    </row>
    <row r="41" customFormat="false" ht="31.5" hidden="false" customHeight="true" outlineLevel="0" collapsed="false">
      <c r="A41" s="11" t="s">
        <v>221</v>
      </c>
      <c r="B41" s="12" t="s">
        <v>222</v>
      </c>
      <c r="C41" s="13" t="s">
        <v>188</v>
      </c>
      <c r="D41" s="14" t="s">
        <v>223</v>
      </c>
      <c r="E41" s="13" t="s">
        <v>224</v>
      </c>
      <c r="F41" s="13" t="s">
        <v>225</v>
      </c>
      <c r="G41" s="13" t="s">
        <v>226</v>
      </c>
      <c r="H41" s="13" t="s">
        <v>227</v>
      </c>
    </row>
    <row r="42" customFormat="false" ht="31.5" hidden="false" customHeight="true" outlineLevel="0" collapsed="false">
      <c r="A42" s="7" t="s">
        <v>228</v>
      </c>
      <c r="B42" s="8" t="s">
        <v>229</v>
      </c>
      <c r="C42" s="9" t="s">
        <v>188</v>
      </c>
      <c r="D42" s="10" t="s">
        <v>223</v>
      </c>
      <c r="E42" s="9" t="s">
        <v>230</v>
      </c>
      <c r="F42" s="9" t="s">
        <v>231</v>
      </c>
      <c r="G42" s="9" t="s">
        <v>232</v>
      </c>
      <c r="H42" s="9" t="s">
        <v>233</v>
      </c>
    </row>
    <row r="43" customFormat="false" ht="31.5" hidden="false" customHeight="true" outlineLevel="0" collapsed="false">
      <c r="A43" s="11" t="s">
        <v>234</v>
      </c>
      <c r="B43" s="12" t="s">
        <v>235</v>
      </c>
      <c r="C43" s="13" t="s">
        <v>188</v>
      </c>
      <c r="D43" s="14" t="s">
        <v>223</v>
      </c>
      <c r="E43" s="13" t="s">
        <v>236</v>
      </c>
      <c r="F43" s="13" t="s">
        <v>237</v>
      </c>
      <c r="G43" s="13" t="s">
        <v>238</v>
      </c>
      <c r="H43" s="13" t="s">
        <v>239</v>
      </c>
    </row>
    <row r="44" customFormat="false" ht="31.5" hidden="false" customHeight="true" outlineLevel="0" collapsed="false">
      <c r="A44" s="7" t="s">
        <v>240</v>
      </c>
      <c r="B44" s="8" t="s">
        <v>241</v>
      </c>
      <c r="C44" s="9" t="s">
        <v>188</v>
      </c>
      <c r="D44" s="10" t="s">
        <v>223</v>
      </c>
      <c r="E44" s="9" t="s">
        <v>242</v>
      </c>
      <c r="F44" s="9" t="s">
        <v>243</v>
      </c>
      <c r="G44" s="9" t="s">
        <v>244</v>
      </c>
      <c r="H44" s="9" t="s">
        <v>245</v>
      </c>
    </row>
    <row r="45" customFormat="false" ht="31.5" hidden="false" customHeight="true" outlineLevel="0" collapsed="false">
      <c r="A45" s="11" t="s">
        <v>246</v>
      </c>
      <c r="B45" s="12" t="s">
        <v>247</v>
      </c>
      <c r="C45" s="13" t="s">
        <v>188</v>
      </c>
      <c r="D45" s="14" t="s">
        <v>248</v>
      </c>
      <c r="E45" s="13" t="s">
        <v>249</v>
      </c>
      <c r="F45" s="13" t="s">
        <v>250</v>
      </c>
      <c r="G45" s="13" t="s">
        <v>251</v>
      </c>
      <c r="H45" s="13" t="s">
        <v>252</v>
      </c>
    </row>
    <row r="46" customFormat="false" ht="31.5" hidden="false" customHeight="true" outlineLevel="0" collapsed="false">
      <c r="A46" s="7" t="s">
        <v>253</v>
      </c>
      <c r="B46" s="8" t="s">
        <v>254</v>
      </c>
      <c r="C46" s="9" t="s">
        <v>188</v>
      </c>
      <c r="D46" s="10" t="s">
        <v>248</v>
      </c>
      <c r="E46" s="9" t="s">
        <v>255</v>
      </c>
      <c r="F46" s="9" t="s">
        <v>256</v>
      </c>
      <c r="G46" s="9" t="s">
        <v>257</v>
      </c>
      <c r="H46" s="9" t="s">
        <v>258</v>
      </c>
    </row>
    <row r="47" customFormat="false" ht="31.5" hidden="false" customHeight="true" outlineLevel="0" collapsed="false">
      <c r="A47" s="11" t="s">
        <v>259</v>
      </c>
      <c r="B47" s="12" t="s">
        <v>260</v>
      </c>
      <c r="C47" s="13" t="s">
        <v>261</v>
      </c>
      <c r="D47" s="14" t="s">
        <v>262</v>
      </c>
      <c r="E47" s="13" t="s">
        <v>263</v>
      </c>
      <c r="F47" s="13" t="s">
        <v>264</v>
      </c>
      <c r="G47" s="13" t="s">
        <v>265</v>
      </c>
      <c r="H47" s="13" t="s">
        <v>266</v>
      </c>
    </row>
    <row r="48" customFormat="false" ht="31.5" hidden="false" customHeight="true" outlineLevel="0" collapsed="false">
      <c r="A48" s="7" t="s">
        <v>267</v>
      </c>
      <c r="B48" s="8" t="s">
        <v>268</v>
      </c>
      <c r="C48" s="9" t="s">
        <v>261</v>
      </c>
      <c r="D48" s="10" t="s">
        <v>269</v>
      </c>
      <c r="E48" s="9" t="s">
        <v>270</v>
      </c>
      <c r="F48" s="9" t="s">
        <v>271</v>
      </c>
      <c r="G48" s="9" t="s">
        <v>272</v>
      </c>
      <c r="H48" s="9" t="s">
        <v>273</v>
      </c>
    </row>
    <row r="49" customFormat="false" ht="31.5" hidden="false" customHeight="true" outlineLevel="0" collapsed="false">
      <c r="A49" s="11" t="s">
        <v>274</v>
      </c>
      <c r="B49" s="12" t="s">
        <v>275</v>
      </c>
      <c r="C49" s="13" t="s">
        <v>261</v>
      </c>
      <c r="D49" s="14" t="s">
        <v>269</v>
      </c>
      <c r="E49" s="13" t="s">
        <v>276</v>
      </c>
      <c r="F49" s="13" t="s">
        <v>277</v>
      </c>
      <c r="G49" s="13" t="s">
        <v>278</v>
      </c>
      <c r="H49" s="13" t="s">
        <v>279</v>
      </c>
    </row>
    <row r="50" customFormat="false" ht="31.5" hidden="false" customHeight="true" outlineLevel="0" collapsed="false">
      <c r="A50" s="7" t="s">
        <v>280</v>
      </c>
      <c r="B50" s="8" t="s">
        <v>281</v>
      </c>
      <c r="C50" s="9" t="s">
        <v>261</v>
      </c>
      <c r="D50" s="10" t="s">
        <v>269</v>
      </c>
      <c r="E50" s="9" t="s">
        <v>282</v>
      </c>
      <c r="F50" s="9" t="s">
        <v>283</v>
      </c>
      <c r="G50" s="9" t="s">
        <v>284</v>
      </c>
      <c r="H50" s="9" t="s">
        <v>285</v>
      </c>
    </row>
    <row r="51" customFormat="false" ht="31.5" hidden="false" customHeight="true" outlineLevel="0" collapsed="false">
      <c r="A51" s="11" t="s">
        <v>286</v>
      </c>
      <c r="B51" s="12" t="s">
        <v>287</v>
      </c>
      <c r="C51" s="13" t="s">
        <v>261</v>
      </c>
      <c r="D51" s="14" t="s">
        <v>269</v>
      </c>
      <c r="E51" s="13" t="s">
        <v>288</v>
      </c>
      <c r="F51" s="13" t="s">
        <v>289</v>
      </c>
      <c r="G51" s="13" t="s">
        <v>290</v>
      </c>
      <c r="H51" s="13" t="s">
        <v>291</v>
      </c>
    </row>
    <row r="52" customFormat="false" ht="31.5" hidden="false" customHeight="true" outlineLevel="0" collapsed="false">
      <c r="A52" s="7" t="s">
        <v>292</v>
      </c>
      <c r="B52" s="8" t="s">
        <v>293</v>
      </c>
      <c r="C52" s="9" t="s">
        <v>261</v>
      </c>
      <c r="D52" s="10" t="s">
        <v>269</v>
      </c>
      <c r="E52" s="9" t="s">
        <v>294</v>
      </c>
      <c r="F52" s="9" t="s">
        <v>295</v>
      </c>
      <c r="G52" s="9" t="s">
        <v>296</v>
      </c>
      <c r="H52" s="9" t="s">
        <v>297</v>
      </c>
    </row>
    <row r="53" customFormat="false" ht="31.5" hidden="false" customHeight="true" outlineLevel="0" collapsed="false">
      <c r="A53" s="11" t="s">
        <v>298</v>
      </c>
      <c r="B53" s="12" t="s">
        <v>299</v>
      </c>
      <c r="C53" s="13" t="s">
        <v>261</v>
      </c>
      <c r="D53" s="14" t="s">
        <v>269</v>
      </c>
      <c r="E53" s="13" t="s">
        <v>300</v>
      </c>
      <c r="F53" s="13" t="s">
        <v>301</v>
      </c>
      <c r="G53" s="13" t="s">
        <v>302</v>
      </c>
      <c r="H53" s="13" t="s">
        <v>303</v>
      </c>
    </row>
    <row r="54" customFormat="false" ht="31.5" hidden="false" customHeight="true" outlineLevel="0" collapsed="false">
      <c r="A54" s="7" t="s">
        <v>304</v>
      </c>
      <c r="B54" s="8" t="s">
        <v>305</v>
      </c>
      <c r="C54" s="9" t="s">
        <v>261</v>
      </c>
      <c r="D54" s="10" t="s">
        <v>269</v>
      </c>
      <c r="E54" s="9" t="s">
        <v>306</v>
      </c>
      <c r="F54" s="9" t="s">
        <v>307</v>
      </c>
      <c r="G54" s="9" t="s">
        <v>308</v>
      </c>
      <c r="H54" s="9" t="s">
        <v>309</v>
      </c>
    </row>
    <row r="55" customFormat="false" ht="31.5" hidden="false" customHeight="true" outlineLevel="0" collapsed="false">
      <c r="A55" s="11" t="s">
        <v>310</v>
      </c>
      <c r="B55" s="12" t="s">
        <v>311</v>
      </c>
      <c r="C55" s="13" t="s">
        <v>261</v>
      </c>
      <c r="D55" s="14" t="s">
        <v>269</v>
      </c>
      <c r="E55" s="13" t="s">
        <v>312</v>
      </c>
      <c r="F55" s="13" t="s">
        <v>313</v>
      </c>
      <c r="G55" s="13" t="s">
        <v>314</v>
      </c>
      <c r="H55" s="13" t="s">
        <v>315</v>
      </c>
    </row>
    <row r="56" customFormat="false" ht="31.5" hidden="false" customHeight="true" outlineLevel="0" collapsed="false">
      <c r="A56" s="7" t="s">
        <v>316</v>
      </c>
      <c r="B56" s="8" t="s">
        <v>317</v>
      </c>
      <c r="C56" s="9" t="s">
        <v>261</v>
      </c>
      <c r="D56" s="10" t="s">
        <v>318</v>
      </c>
      <c r="E56" s="9" t="s">
        <v>319</v>
      </c>
      <c r="F56" s="9" t="s">
        <v>320</v>
      </c>
      <c r="G56" s="9" t="s">
        <v>321</v>
      </c>
      <c r="H56" s="9" t="s">
        <v>322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6" min="5" style="0" width="28"/>
    <col collapsed="false" customWidth="true" hidden="false" outlineLevel="0" max="7" min="7" style="0" width="30"/>
    <col collapsed="false" customWidth="true" hidden="false" outlineLevel="0" max="9" min="8" style="0" width="38"/>
  </cols>
  <sheetData>
    <row r="1" customFormat="false" ht="30" hidden="false" customHeight="true" outlineLevel="0" collapsed="false">
      <c r="A1" s="1" t="s">
        <v>323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324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5" t="s">
        <v>325</v>
      </c>
      <c r="B4" s="6" t="s">
        <v>326</v>
      </c>
      <c r="C4" s="6" t="s">
        <v>327</v>
      </c>
      <c r="D4" s="6" t="s">
        <v>328</v>
      </c>
      <c r="E4" s="6" t="s">
        <v>329</v>
      </c>
      <c r="F4" s="6" t="s">
        <v>330</v>
      </c>
      <c r="G4" s="6" t="s">
        <v>331</v>
      </c>
      <c r="H4" s="6" t="s">
        <v>12</v>
      </c>
      <c r="I4" s="6" t="s">
        <v>332</v>
      </c>
    </row>
    <row r="5" customFormat="false" ht="36" hidden="false" customHeight="true" outlineLevel="0" collapsed="false">
      <c r="A5" s="11" t="s">
        <v>333</v>
      </c>
      <c r="B5" s="12" t="s">
        <v>334</v>
      </c>
      <c r="C5" s="13" t="s">
        <v>335</v>
      </c>
      <c r="D5" s="13" t="s">
        <v>336</v>
      </c>
      <c r="E5" s="13" t="s">
        <v>337</v>
      </c>
      <c r="F5" s="13" t="s">
        <v>338</v>
      </c>
      <c r="G5" s="13" t="s">
        <v>339</v>
      </c>
      <c r="H5" s="13" t="s">
        <v>340</v>
      </c>
      <c r="I5" s="13" t="s">
        <v>341</v>
      </c>
    </row>
    <row r="6" customFormat="false" ht="36" hidden="false" customHeight="true" outlineLevel="0" collapsed="false">
      <c r="A6" s="7" t="s">
        <v>342</v>
      </c>
      <c r="B6" s="8" t="s">
        <v>343</v>
      </c>
      <c r="C6" s="9" t="s">
        <v>335</v>
      </c>
      <c r="D6" s="9" t="s">
        <v>344</v>
      </c>
      <c r="E6" s="9" t="s">
        <v>337</v>
      </c>
      <c r="F6" s="9" t="s">
        <v>345</v>
      </c>
      <c r="G6" s="9" t="s">
        <v>346</v>
      </c>
      <c r="H6" s="9" t="s">
        <v>347</v>
      </c>
      <c r="I6" s="9" t="s">
        <v>348</v>
      </c>
    </row>
    <row r="7" customFormat="false" ht="36" hidden="false" customHeight="true" outlineLevel="0" collapsed="false">
      <c r="A7" s="11" t="s">
        <v>349</v>
      </c>
      <c r="B7" s="12" t="s">
        <v>350</v>
      </c>
      <c r="C7" s="13" t="s">
        <v>351</v>
      </c>
      <c r="D7" s="13" t="s">
        <v>352</v>
      </c>
      <c r="E7" s="13" t="s">
        <v>353</v>
      </c>
      <c r="F7" s="13" t="s">
        <v>354</v>
      </c>
      <c r="G7" s="13" t="s">
        <v>355</v>
      </c>
      <c r="H7" s="13" t="s">
        <v>356</v>
      </c>
      <c r="I7" s="13" t="s">
        <v>357</v>
      </c>
    </row>
    <row r="8" customFormat="false" ht="36" hidden="false" customHeight="true" outlineLevel="0" collapsed="false">
      <c r="A8" s="7" t="s">
        <v>358</v>
      </c>
      <c r="B8" s="8" t="s">
        <v>359</v>
      </c>
      <c r="C8" s="9" t="s">
        <v>360</v>
      </c>
      <c r="D8" s="9" t="s">
        <v>361</v>
      </c>
      <c r="E8" s="9" t="s">
        <v>353</v>
      </c>
      <c r="F8" s="9" t="s">
        <v>362</v>
      </c>
      <c r="G8" s="9" t="s">
        <v>363</v>
      </c>
      <c r="H8" s="9" t="s">
        <v>364</v>
      </c>
      <c r="I8" s="9" t="s">
        <v>365</v>
      </c>
    </row>
    <row r="9" customFormat="false" ht="36" hidden="false" customHeight="true" outlineLevel="0" collapsed="false">
      <c r="A9" s="11" t="s">
        <v>366</v>
      </c>
      <c r="B9" s="12" t="s">
        <v>367</v>
      </c>
      <c r="C9" s="13" t="s">
        <v>368</v>
      </c>
      <c r="D9" s="13" t="s">
        <v>369</v>
      </c>
      <c r="E9" s="13" t="s">
        <v>370</v>
      </c>
      <c r="F9" s="13" t="s">
        <v>371</v>
      </c>
      <c r="G9" s="13" t="s">
        <v>372</v>
      </c>
      <c r="H9" s="13" t="s">
        <v>373</v>
      </c>
      <c r="I9" s="13" t="s">
        <v>374</v>
      </c>
    </row>
    <row r="10" customFormat="false" ht="36" hidden="false" customHeight="true" outlineLevel="0" collapsed="false">
      <c r="A10" s="7" t="s">
        <v>375</v>
      </c>
      <c r="B10" s="8" t="s">
        <v>376</v>
      </c>
      <c r="C10" s="9" t="s">
        <v>377</v>
      </c>
      <c r="D10" s="9" t="s">
        <v>378</v>
      </c>
      <c r="E10" s="9" t="s">
        <v>337</v>
      </c>
      <c r="F10" s="9" t="s">
        <v>379</v>
      </c>
      <c r="G10" s="9" t="s">
        <v>380</v>
      </c>
      <c r="H10" s="9" t="s">
        <v>381</v>
      </c>
      <c r="I10" s="9" t="s">
        <v>382</v>
      </c>
    </row>
    <row r="11" customFormat="false" ht="36" hidden="false" customHeight="true" outlineLevel="0" collapsed="false">
      <c r="A11" s="11" t="s">
        <v>383</v>
      </c>
      <c r="B11" s="12" t="s">
        <v>384</v>
      </c>
      <c r="C11" s="13" t="s">
        <v>385</v>
      </c>
      <c r="D11" s="13" t="s">
        <v>386</v>
      </c>
      <c r="E11" s="13" t="s">
        <v>337</v>
      </c>
      <c r="F11" s="13" t="s">
        <v>387</v>
      </c>
      <c r="G11" s="13" t="s">
        <v>388</v>
      </c>
      <c r="H11" s="13" t="s">
        <v>389</v>
      </c>
      <c r="I11" s="13" t="s">
        <v>390</v>
      </c>
    </row>
    <row r="12" customFormat="false" ht="36" hidden="false" customHeight="true" outlineLevel="0" collapsed="false">
      <c r="A12" s="7" t="s">
        <v>391</v>
      </c>
      <c r="B12" s="8" t="s">
        <v>392</v>
      </c>
      <c r="C12" s="9" t="s">
        <v>393</v>
      </c>
      <c r="D12" s="9" t="s">
        <v>394</v>
      </c>
      <c r="E12" s="9" t="s">
        <v>395</v>
      </c>
      <c r="F12" s="9" t="s">
        <v>396</v>
      </c>
      <c r="G12" s="9" t="s">
        <v>397</v>
      </c>
      <c r="H12" s="9" t="s">
        <v>398</v>
      </c>
      <c r="I12" s="9" t="s">
        <v>399</v>
      </c>
    </row>
    <row r="13" customFormat="false" ht="36" hidden="false" customHeight="true" outlineLevel="0" collapsed="false">
      <c r="A13" s="11" t="s">
        <v>400</v>
      </c>
      <c r="B13" s="12" t="s">
        <v>401</v>
      </c>
      <c r="C13" s="13" t="s">
        <v>402</v>
      </c>
      <c r="D13" s="13" t="s">
        <v>403</v>
      </c>
      <c r="E13" s="13" t="s">
        <v>395</v>
      </c>
      <c r="F13" s="13" t="s">
        <v>404</v>
      </c>
      <c r="G13" s="13" t="s">
        <v>405</v>
      </c>
      <c r="H13" s="13" t="s">
        <v>406</v>
      </c>
      <c r="I13" s="13" t="s">
        <v>407</v>
      </c>
    </row>
    <row r="14" customFormat="false" ht="36" hidden="false" customHeight="true" outlineLevel="0" collapsed="false">
      <c r="A14" s="7" t="s">
        <v>408</v>
      </c>
      <c r="B14" s="8" t="s">
        <v>409</v>
      </c>
      <c r="C14" s="9" t="s">
        <v>410</v>
      </c>
      <c r="D14" s="9" t="s">
        <v>411</v>
      </c>
      <c r="E14" s="9" t="s">
        <v>370</v>
      </c>
      <c r="F14" s="9" t="s">
        <v>412</v>
      </c>
      <c r="G14" s="9" t="s">
        <v>413</v>
      </c>
      <c r="H14" s="9" t="s">
        <v>414</v>
      </c>
      <c r="I14" s="9" t="s">
        <v>415</v>
      </c>
    </row>
    <row r="15" customFormat="false" ht="36" hidden="false" customHeight="true" outlineLevel="0" collapsed="false">
      <c r="A15" s="11" t="s">
        <v>416</v>
      </c>
      <c r="B15" s="12" t="s">
        <v>417</v>
      </c>
      <c r="C15" s="13" t="s">
        <v>418</v>
      </c>
      <c r="D15" s="13" t="s">
        <v>419</v>
      </c>
      <c r="E15" s="13" t="s">
        <v>420</v>
      </c>
      <c r="F15" s="13" t="s">
        <v>421</v>
      </c>
      <c r="G15" s="13" t="s">
        <v>422</v>
      </c>
      <c r="H15" s="13" t="s">
        <v>423</v>
      </c>
      <c r="I15" s="13" t="s">
        <v>424</v>
      </c>
    </row>
    <row r="16" customFormat="false" ht="36" hidden="false" customHeight="true" outlineLevel="0" collapsed="false">
      <c r="A16" s="7" t="s">
        <v>425</v>
      </c>
      <c r="B16" s="8" t="s">
        <v>426</v>
      </c>
      <c r="C16" s="9" t="s">
        <v>427</v>
      </c>
      <c r="D16" s="9" t="s">
        <v>428</v>
      </c>
      <c r="E16" s="9" t="s">
        <v>370</v>
      </c>
      <c r="F16" s="9" t="s">
        <v>429</v>
      </c>
      <c r="G16" s="9" t="s">
        <v>430</v>
      </c>
      <c r="H16" s="9" t="s">
        <v>251</v>
      </c>
      <c r="I16" s="9" t="s">
        <v>431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2026-10-27T04:17:15Z</dcterms:created>
  <dc:creator>openpyxl</dc:creator>
  <dc:description/>
  <dc:language>en-US</dc:language>
  <cp:lastModifiedBy/>
  <dcterms:modified xsi:type="dcterms:W3CDTF">2026-10-27T04:17:15Z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